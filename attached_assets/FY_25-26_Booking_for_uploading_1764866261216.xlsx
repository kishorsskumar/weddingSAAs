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ents\"/>
    </mc:Choice>
  </mc:AlternateContent>
  <xr:revisionPtr revIDLastSave="0" documentId="13_ncr:1_{CA392F29-03DA-4F25-AF97-36E909F6321A}" xr6:coauthVersionLast="47" xr6:coauthVersionMax="47" xr10:uidLastSave="{00000000-0000-0000-0000-000000000000}"/>
  <bookViews>
    <workbookView xWindow="2980" yWindow="3080" windowWidth="14400" windowHeight="8170" xr2:uid="{154F15B5-EA79-43D7-855C-39A930002088}"/>
  </bookViews>
  <sheets>
    <sheet name="FY-25-26" sheetId="1" r:id="rId1"/>
  </sheets>
  <definedNames>
    <definedName name="_xlnm._FilterDatabase" localSheetId="0" hidden="1">'FY-25-26'!$A$1:$J$112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G3" i="1"/>
  <c r="H3" i="1"/>
  <c r="I3" i="1" s="1"/>
  <c r="M25" i="1" l="1"/>
  <c r="M26" i="1"/>
  <c r="M27" i="1" l="1"/>
</calcChain>
</file>

<file path=xl/sharedStrings.xml><?xml version="1.0" encoding="utf-8"?>
<sst xmlns="http://schemas.openxmlformats.org/spreadsheetml/2006/main" count="563" uniqueCount="206">
  <si>
    <t>SL NO</t>
  </si>
  <si>
    <t>DATE</t>
  </si>
  <si>
    <t>VENUE</t>
  </si>
  <si>
    <t>Abhinaya</t>
  </si>
  <si>
    <t>Bolgatty Event Center</t>
  </si>
  <si>
    <t>Hindu wedding reception</t>
  </si>
  <si>
    <t xml:space="preserve">Nancy </t>
  </si>
  <si>
    <t>CIAL Golf Club</t>
  </si>
  <si>
    <t xml:space="preserve">Birthday </t>
  </si>
  <si>
    <t>Ayana and Kevin</t>
  </si>
  <si>
    <t>Vijaya Convention Center</t>
  </si>
  <si>
    <t>X'an wedding reception &amp; church décor</t>
  </si>
  <si>
    <t>Nimi</t>
  </si>
  <si>
    <t>Ramada Resort</t>
  </si>
  <si>
    <t>Fiyona</t>
  </si>
  <si>
    <t>Chackolas _Jade</t>
  </si>
  <si>
    <t>X'an Engagement</t>
  </si>
  <si>
    <t xml:space="preserve">Nandamohan </t>
  </si>
  <si>
    <t>Chackolas- GBR</t>
  </si>
  <si>
    <t>Hindu wedding</t>
  </si>
  <si>
    <t xml:space="preserve">Sana </t>
  </si>
  <si>
    <t>Abad- Haldi</t>
  </si>
  <si>
    <t>Chackolas- Galleria</t>
  </si>
  <si>
    <t>Sangeet</t>
  </si>
  <si>
    <t>George- Fort Kochi</t>
  </si>
  <si>
    <t>Mehandi</t>
  </si>
  <si>
    <t>Trinita Casa</t>
  </si>
  <si>
    <t>Muslim Wedding</t>
  </si>
  <si>
    <t>Haldi</t>
  </si>
  <si>
    <t>Kavya</t>
  </si>
  <si>
    <t>Periyar club</t>
  </si>
  <si>
    <t>Jessica</t>
  </si>
  <si>
    <t>Home - Thodupuzha</t>
  </si>
  <si>
    <t>Wedding eve</t>
  </si>
  <si>
    <t>Aiswarya</t>
  </si>
  <si>
    <t>Chackolas -Jade</t>
  </si>
  <si>
    <t>Hindu Wedding</t>
  </si>
  <si>
    <t>Kuttikrishan</t>
  </si>
  <si>
    <t>Bolgatty Palace</t>
  </si>
  <si>
    <t>Dr.Alfred</t>
  </si>
  <si>
    <t>Nihara</t>
  </si>
  <si>
    <t>Dr.Reuinion</t>
  </si>
  <si>
    <t>Mascot,Kannur</t>
  </si>
  <si>
    <t>Hindu Engagement</t>
  </si>
  <si>
    <t>Abhirami</t>
  </si>
  <si>
    <t>Puzhayoram, Thrissur</t>
  </si>
  <si>
    <t>Gokulam Thrissur</t>
  </si>
  <si>
    <t>Archana</t>
  </si>
  <si>
    <t>Chittur</t>
  </si>
  <si>
    <t>Kaltra &amp; Arpit</t>
  </si>
  <si>
    <t>KLR- Kumarakom</t>
  </si>
  <si>
    <t>Haldi/Sangeet</t>
  </si>
  <si>
    <t>Gokul</t>
  </si>
  <si>
    <t>Keerthana</t>
  </si>
  <si>
    <t>Kannur</t>
  </si>
  <si>
    <t>Gopika</t>
  </si>
  <si>
    <t>Le-Meridien</t>
  </si>
  <si>
    <t>Janaki nadh-Thrissur</t>
  </si>
  <si>
    <t>Akshara</t>
  </si>
  <si>
    <t>Nikitha</t>
  </si>
  <si>
    <t>Hindu &amp; North Indian Wedding</t>
  </si>
  <si>
    <t>Preetha</t>
  </si>
  <si>
    <t>Bolgatty Panthal</t>
  </si>
  <si>
    <t>Iyengar wedding</t>
  </si>
  <si>
    <t>Engagement</t>
  </si>
  <si>
    <t>Shrishti</t>
  </si>
  <si>
    <t>Gokulam - Kumarakom</t>
  </si>
  <si>
    <t>North Indian Wedding</t>
  </si>
  <si>
    <t>Sudha</t>
  </si>
  <si>
    <t>Malavika</t>
  </si>
  <si>
    <t>Baymass Panangad</t>
  </si>
  <si>
    <t>Hindu Wedding &amp; North Indian</t>
  </si>
  <si>
    <t>Vandana</t>
  </si>
  <si>
    <t>Backwater Ripples</t>
  </si>
  <si>
    <t>Welcome Party &amp; Sangeet</t>
  </si>
  <si>
    <t>Neelambari</t>
  </si>
  <si>
    <t>Lailac</t>
  </si>
  <si>
    <t>Wedding Reception</t>
  </si>
  <si>
    <t>Grand Arena- Ettumanur</t>
  </si>
  <si>
    <t>Unnikrishnan</t>
  </si>
  <si>
    <t>Manoj</t>
  </si>
  <si>
    <t>Home</t>
  </si>
  <si>
    <t>Madhuramveppu</t>
  </si>
  <si>
    <t>Mansoon Empress</t>
  </si>
  <si>
    <t>Krish</t>
  </si>
  <si>
    <t>Civil Ceremony/Mehandi/Sangeet</t>
  </si>
  <si>
    <t>Neenu</t>
  </si>
  <si>
    <t>CSI Heritage- FortKochi</t>
  </si>
  <si>
    <t>Indian Wedding &amp; reception</t>
  </si>
  <si>
    <t>Dr.Martin</t>
  </si>
  <si>
    <t>Heartland</t>
  </si>
  <si>
    <t>Shruthi</t>
  </si>
  <si>
    <t>Wedding Planner</t>
  </si>
  <si>
    <t>Fida</t>
  </si>
  <si>
    <t>Femina</t>
  </si>
  <si>
    <t>Kishor</t>
  </si>
  <si>
    <t>GM</t>
  </si>
  <si>
    <t>Xian Wedding</t>
  </si>
  <si>
    <t>Nikita</t>
  </si>
  <si>
    <t>Haldi ,Sangeet</t>
  </si>
  <si>
    <t>Arjun</t>
  </si>
  <si>
    <t>Kent Villa Kakkanad</t>
  </si>
  <si>
    <t>House Warming</t>
  </si>
  <si>
    <t>Planned Cost</t>
  </si>
  <si>
    <t>Actual Cost</t>
  </si>
  <si>
    <t>Latha/Manoj/Mathew</t>
  </si>
  <si>
    <t>GBR Chakolas</t>
  </si>
  <si>
    <t>Nishanth</t>
  </si>
  <si>
    <t>Haldi, Wedding (Maharashtra)</t>
  </si>
  <si>
    <t>Sharukh</t>
  </si>
  <si>
    <t>Village Canopy</t>
  </si>
  <si>
    <t>Jaseena</t>
  </si>
  <si>
    <t xml:space="preserve"> Atsk Garden,Kollam</t>
  </si>
  <si>
    <t>Dr.Anjana</t>
  </si>
  <si>
    <t>Joys Palace</t>
  </si>
  <si>
    <t>Jijo</t>
  </si>
  <si>
    <t>Austin/Fiona</t>
  </si>
  <si>
    <t>Varsha</t>
  </si>
  <si>
    <t>Sneha/Kannur</t>
  </si>
  <si>
    <t xml:space="preserve">Varsha </t>
  </si>
  <si>
    <t>Dr.Sonia Firoz</t>
  </si>
  <si>
    <t>Yash/Malavika</t>
  </si>
  <si>
    <t>Kiran George</t>
  </si>
  <si>
    <t>Mishal- Haldi</t>
  </si>
  <si>
    <t>Mishal- Mehandi</t>
  </si>
  <si>
    <t>Mishal- Wedding</t>
  </si>
  <si>
    <t>Mariam/ Hyatt Tcr</t>
  </si>
  <si>
    <t>Pranav</t>
  </si>
  <si>
    <t>Trivandrum</t>
  </si>
  <si>
    <t>Hyatt</t>
  </si>
  <si>
    <t>Bernard</t>
  </si>
  <si>
    <t>Cochin Club</t>
  </si>
  <si>
    <t>Jinsy</t>
  </si>
  <si>
    <t>Edam Art Café</t>
  </si>
  <si>
    <t>Taj Vivanta</t>
  </si>
  <si>
    <t>Palakkad</t>
  </si>
  <si>
    <t>Vivanta- Trivandrum</t>
  </si>
  <si>
    <t>Unnimaya</t>
  </si>
  <si>
    <t>Ramavarma club</t>
  </si>
  <si>
    <t>Anjali</t>
  </si>
  <si>
    <t>Mehandi/Sangeet</t>
  </si>
  <si>
    <t>Haldi/Wedding</t>
  </si>
  <si>
    <t>Mathew</t>
  </si>
  <si>
    <t>Irine</t>
  </si>
  <si>
    <t>Kadavu resort,Calicut</t>
  </si>
  <si>
    <t>Gokulam Grand</t>
  </si>
  <si>
    <t>Sindhu</t>
  </si>
  <si>
    <t>Taj Wayanad</t>
  </si>
  <si>
    <t>Greeny</t>
  </si>
  <si>
    <t>Chittilappally</t>
  </si>
  <si>
    <t>Christian engagement</t>
  </si>
  <si>
    <t>James</t>
  </si>
  <si>
    <t>Edassery</t>
  </si>
  <si>
    <t>Vijaya &amp; Nikhil</t>
  </si>
  <si>
    <t>Deja Blu</t>
  </si>
  <si>
    <t>Soorya</t>
  </si>
  <si>
    <t>Megha</t>
  </si>
  <si>
    <t>Wedding</t>
  </si>
  <si>
    <t>Bolgatty</t>
  </si>
  <si>
    <t>Bolgatty EC</t>
  </si>
  <si>
    <t>Dr.Akhil</t>
  </si>
  <si>
    <t xml:space="preserve">Casino </t>
  </si>
  <si>
    <t>Reception</t>
  </si>
  <si>
    <t>Wedding Eve</t>
  </si>
  <si>
    <t xml:space="preserve">Countour Backwaters </t>
  </si>
  <si>
    <t>Abhinanth</t>
  </si>
  <si>
    <t>Mehak</t>
  </si>
  <si>
    <t>Blue serene</t>
  </si>
  <si>
    <t>Avenue center</t>
  </si>
  <si>
    <t>Blue serene/Bhasuri</t>
  </si>
  <si>
    <t>Susan</t>
  </si>
  <si>
    <t>Holiday Inn</t>
  </si>
  <si>
    <t>Christian  Wedding</t>
  </si>
  <si>
    <t>MCP</t>
  </si>
  <si>
    <t>Christian wedding</t>
  </si>
  <si>
    <t>Nithiya</t>
  </si>
  <si>
    <t>World Backwater</t>
  </si>
  <si>
    <t xml:space="preserve">Sabu </t>
  </si>
  <si>
    <t>Kent Kaloor</t>
  </si>
  <si>
    <t>Anandu</t>
  </si>
  <si>
    <t>Highness Auditorium</t>
  </si>
  <si>
    <t>Anjaleena</t>
  </si>
  <si>
    <t>Mhndi,Sangeet</t>
  </si>
  <si>
    <t>Wed,Rec</t>
  </si>
  <si>
    <t>Thara</t>
  </si>
  <si>
    <t>Gymkhana club</t>
  </si>
  <si>
    <t>Galleria 1 &amp;2</t>
  </si>
  <si>
    <t>Akshay</t>
  </si>
  <si>
    <t>Wayanad</t>
  </si>
  <si>
    <t>KTDC Samudsra</t>
  </si>
  <si>
    <t xml:space="preserve">Alsaj </t>
  </si>
  <si>
    <t>Nikah</t>
  </si>
  <si>
    <t>Abad Kumarakom</t>
  </si>
  <si>
    <t>Amala</t>
  </si>
  <si>
    <t>Base 11</t>
  </si>
  <si>
    <t>Roshni</t>
  </si>
  <si>
    <t>Chackolas GBR</t>
  </si>
  <si>
    <t>Anjaly</t>
  </si>
  <si>
    <t>Anuja</t>
  </si>
  <si>
    <t>Riveria Portico</t>
  </si>
  <si>
    <t>Pooja</t>
  </si>
  <si>
    <t>Trivandrum Club</t>
  </si>
  <si>
    <t>Sri padma kalyana mandapam</t>
  </si>
  <si>
    <t>Event Name</t>
  </si>
  <si>
    <t>CLIENT Name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</si>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</sst>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5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43" fontId="0" fillId="0" borderId="9" xfId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 vertical="center"/>
    </xf>
    <xf numFmtId="43" fontId="0" fillId="0" borderId="10" xfId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15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0" fillId="2" borderId="10" xfId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0" fillId="2" borderId="0" xfId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E919-AE31-4719-8016-83744E4AF6D5}">
  <dimension ref="A1:X112"/>
  <sheetViews>
    <sheetView tabSelected="1" zoomScaleNormal="100" zoomScaleSheetLayoutView="100" workbookViewId="0">
      <pane ySplit="1" topLeftCell="A81" activePane="bottomLeft" state="frozen"/>
      <selection activeCell="D1" sqref="D1"/>
      <selection pane="bottomLeft" activeCell="A56" sqref="A56:XFD56"/>
    </sheetView>
  </sheetViews>
  <sheetFormatPr defaultRowHeight="14.5" x14ac:dyDescent="0.35"/>
  <cols>
    <col min="1" max="1" width="8.7265625" style="1"/>
    <col min="2" max="2" width="11" style="1" customWidth="1"/>
    <col min="3" max="4" width="21.54296875" style="1" customWidth="1"/>
    <col min="5" max="5" width="34.1796875" style="1" customWidth="1"/>
    <col min="6" max="6" width="29.08984375" style="1" customWidth="1"/>
    <col min="7" max="9" width="16.1796875" style="1" hidden="1" customWidth="1"/>
    <col min="10" max="10" width="17.90625" style="1" customWidth="1"/>
    <col min="11" max="11" width="0" style="1" hidden="1" customWidth="1"/>
    <col min="12" max="12" width="9.6328125" style="1" hidden="1" customWidth="1"/>
    <col min="13" max="13" width="13.81640625" style="1" hidden="1" customWidth="1"/>
    <col min="14" max="14" width="0" style="1" hidden="1" customWidth="1"/>
    <col min="15" max="15" width="13.81640625" style="4" hidden="1" customWidth="1"/>
    <col min="16" max="16" width="0" style="1" hidden="1" customWidth="1"/>
    <col min="17" max="17" width="13.81640625" style="1" hidden="1" customWidth="1"/>
    <col min="18" max="16384" width="8.7265625" style="1"/>
  </cols>
  <sheetData>
    <row r="1" spans="1:15" s="5" customFormat="1" ht="15" thickBot="1" x14ac:dyDescent="0.4">
      <c r="A1" s="19" t="s">
        <v>0</v>
      </c>
      <c r="B1" s="20" t="s">
        <v>1</v>
      </c>
      <c r="C1" s="20" t="s">
        <v>203</v>
      </c>
      <c r="D1" s="20" t="s">
        <v>204</v>
      </c>
      <c r="E1" s="20" t="s">
        <v>205</v>
      </c>
      <c r="F1" s="20" t="s">
        <v>2</v>
      </c>
      <c r="G1" s="21" t="s">
        <v>103</v>
      </c>
      <c r="H1" s="21" t="s">
        <v>104</v>
      </c>
      <c r="I1" s="21" t="s">
        <v>96</v>
      </c>
      <c r="J1" s="21" t="s">
        <v>92</v>
      </c>
      <c r="L1" s="18" t="s">
        <v>94</v>
      </c>
      <c r="M1" s="3">
        <v>5469609</v>
      </c>
      <c r="O1" s="6"/>
    </row>
    <row r="2" spans="1:15" x14ac:dyDescent="0.35">
      <c r="A2" s="7">
        <v>1</v>
      </c>
      <c r="B2" s="8">
        <v>45812</v>
      </c>
      <c r="C2" s="9" t="s">
        <v>3</v>
      </c>
      <c r="D2" s="9" t="s">
        <v>3</v>
      </c>
      <c r="E2" s="9" t="s">
        <v>5</v>
      </c>
      <c r="F2" s="9" t="s">
        <v>4</v>
      </c>
      <c r="G2" s="10"/>
      <c r="H2" s="10">
        <f>96400+11080+1480+15000+75000+104+929</f>
        <v>199993</v>
      </c>
      <c r="I2" s="10" t="e">
        <f>#REF!-H2</f>
        <v>#REF!</v>
      </c>
      <c r="J2" s="11" t="s">
        <v>93</v>
      </c>
      <c r="O2" s="1"/>
    </row>
    <row r="3" spans="1:15" ht="15" thickBot="1" x14ac:dyDescent="0.4">
      <c r="A3" s="12">
        <v>2</v>
      </c>
      <c r="B3" s="13">
        <v>45822</v>
      </c>
      <c r="C3" s="2" t="s">
        <v>6</v>
      </c>
      <c r="D3" s="2" t="s">
        <v>6</v>
      </c>
      <c r="E3" s="2" t="s">
        <v>8</v>
      </c>
      <c r="F3" s="2" t="s">
        <v>7</v>
      </c>
      <c r="G3" s="14">
        <f>304430</f>
        <v>304430</v>
      </c>
      <c r="H3" s="14">
        <f>156860-3260+329018+4000+50000+130960+23000+47000+5000+15000+55748+7300+15700+14700+9000+120000+4350+1800</f>
        <v>986176</v>
      </c>
      <c r="I3" s="14" t="e">
        <f>#REF!-H3</f>
        <v>#REF!</v>
      </c>
      <c r="J3" s="15" t="s">
        <v>93</v>
      </c>
      <c r="O3" s="1"/>
    </row>
    <row r="4" spans="1:15" x14ac:dyDescent="0.35">
      <c r="A4" s="7">
        <v>3</v>
      </c>
      <c r="B4" s="13">
        <v>45844</v>
      </c>
      <c r="C4" s="2" t="s">
        <v>9</v>
      </c>
      <c r="D4" s="2" t="s">
        <v>9</v>
      </c>
      <c r="E4" s="2" t="s">
        <v>11</v>
      </c>
      <c r="F4" s="2" t="s">
        <v>10</v>
      </c>
      <c r="G4" s="14"/>
      <c r="H4" s="14"/>
      <c r="I4" s="14"/>
      <c r="J4" s="15" t="s">
        <v>93</v>
      </c>
      <c r="O4" s="1"/>
    </row>
    <row r="5" spans="1:15" ht="15" thickBot="1" x14ac:dyDescent="0.4">
      <c r="A5" s="12">
        <v>4</v>
      </c>
      <c r="B5" s="13">
        <v>45851</v>
      </c>
      <c r="C5" s="2" t="s">
        <v>100</v>
      </c>
      <c r="D5" s="2" t="s">
        <v>100</v>
      </c>
      <c r="E5" s="2" t="s">
        <v>102</v>
      </c>
      <c r="F5" s="2" t="s">
        <v>101</v>
      </c>
      <c r="G5" s="14"/>
      <c r="H5" s="14"/>
      <c r="I5" s="14"/>
      <c r="J5" s="15" t="s">
        <v>94</v>
      </c>
    </row>
    <row r="6" spans="1:15" x14ac:dyDescent="0.35">
      <c r="A6" s="7">
        <v>5</v>
      </c>
      <c r="B6" s="13">
        <v>45848</v>
      </c>
      <c r="C6" s="2" t="s">
        <v>12</v>
      </c>
      <c r="D6" s="2" t="s">
        <v>12</v>
      </c>
      <c r="E6" s="2"/>
      <c r="F6" s="2"/>
      <c r="G6" s="14"/>
      <c r="H6" s="14"/>
      <c r="I6" s="14"/>
      <c r="J6" s="15" t="s">
        <v>94</v>
      </c>
      <c r="O6" s="1"/>
    </row>
    <row r="7" spans="1:15" ht="15" thickBot="1" x14ac:dyDescent="0.4">
      <c r="A7" s="12">
        <v>6</v>
      </c>
      <c r="B7" s="13">
        <v>45858</v>
      </c>
      <c r="C7" s="2" t="s">
        <v>14</v>
      </c>
      <c r="D7" s="2" t="s">
        <v>14</v>
      </c>
      <c r="E7" s="2" t="s">
        <v>16</v>
      </c>
      <c r="F7" s="2" t="s">
        <v>15</v>
      </c>
      <c r="G7" s="14"/>
      <c r="H7" s="14"/>
      <c r="I7" s="14"/>
      <c r="J7" s="15" t="s">
        <v>93</v>
      </c>
      <c r="O7" s="1"/>
    </row>
    <row r="8" spans="1:15" x14ac:dyDescent="0.35">
      <c r="A8" s="7">
        <v>7</v>
      </c>
      <c r="B8" s="13">
        <v>45858</v>
      </c>
      <c r="C8" s="2" t="s">
        <v>17</v>
      </c>
      <c r="D8" s="2" t="s">
        <v>17</v>
      </c>
      <c r="E8" s="2" t="s">
        <v>23</v>
      </c>
      <c r="F8" s="2" t="s">
        <v>22</v>
      </c>
      <c r="G8" s="14"/>
      <c r="H8" s="14"/>
      <c r="I8" s="14"/>
      <c r="J8" s="15" t="s">
        <v>93</v>
      </c>
      <c r="O8" s="1"/>
    </row>
    <row r="9" spans="1:15" ht="15" thickBot="1" x14ac:dyDescent="0.4">
      <c r="A9" s="12">
        <v>8</v>
      </c>
      <c r="B9" s="13">
        <v>45859</v>
      </c>
      <c r="C9" s="2" t="s">
        <v>17</v>
      </c>
      <c r="D9" s="2" t="s">
        <v>17</v>
      </c>
      <c r="E9" s="2" t="s">
        <v>19</v>
      </c>
      <c r="F9" s="2" t="s">
        <v>18</v>
      </c>
      <c r="G9" s="14"/>
      <c r="H9" s="14"/>
      <c r="I9" s="14"/>
      <c r="J9" s="15" t="s">
        <v>93</v>
      </c>
      <c r="O9" s="1"/>
    </row>
    <row r="10" spans="1:15" x14ac:dyDescent="0.35">
      <c r="A10" s="7">
        <v>9</v>
      </c>
      <c r="B10" s="13">
        <v>45859</v>
      </c>
      <c r="C10" s="2" t="s">
        <v>20</v>
      </c>
      <c r="D10" s="2" t="s">
        <v>20</v>
      </c>
      <c r="E10" s="2" t="s">
        <v>28</v>
      </c>
      <c r="F10" s="2" t="s">
        <v>21</v>
      </c>
      <c r="G10" s="14"/>
      <c r="H10" s="14"/>
      <c r="I10" s="14"/>
      <c r="J10" s="15" t="s">
        <v>94</v>
      </c>
      <c r="L10" s="16"/>
      <c r="M10" s="16"/>
    </row>
    <row r="11" spans="1:15" ht="15" thickBot="1" x14ac:dyDescent="0.4">
      <c r="A11" s="12">
        <v>10</v>
      </c>
      <c r="B11" s="13">
        <v>45861</v>
      </c>
      <c r="C11" s="2" t="s">
        <v>116</v>
      </c>
      <c r="D11" s="2" t="s">
        <v>116</v>
      </c>
      <c r="E11" s="2" t="s">
        <v>11</v>
      </c>
      <c r="F11" s="2" t="s">
        <v>13</v>
      </c>
      <c r="G11" s="14"/>
      <c r="H11" s="14"/>
      <c r="I11" s="14"/>
      <c r="J11" s="15" t="s">
        <v>93</v>
      </c>
      <c r="O11" s="1"/>
    </row>
    <row r="12" spans="1:15" x14ac:dyDescent="0.35">
      <c r="A12" s="7">
        <v>11</v>
      </c>
      <c r="B12" s="13">
        <v>45863</v>
      </c>
      <c r="C12" s="2" t="s">
        <v>20</v>
      </c>
      <c r="D12" s="2" t="s">
        <v>20</v>
      </c>
      <c r="E12" s="2" t="s">
        <v>25</v>
      </c>
      <c r="F12" s="2" t="s">
        <v>24</v>
      </c>
      <c r="G12" s="14"/>
      <c r="H12" s="14"/>
      <c r="I12" s="14"/>
      <c r="J12" s="15" t="s">
        <v>94</v>
      </c>
    </row>
    <row r="13" spans="1:15" ht="15" thickBot="1" x14ac:dyDescent="0.4">
      <c r="A13" s="12">
        <v>12</v>
      </c>
      <c r="B13" s="13">
        <v>45864</v>
      </c>
      <c r="C13" s="2" t="s">
        <v>20</v>
      </c>
      <c r="D13" s="2" t="s">
        <v>20</v>
      </c>
      <c r="E13" s="2" t="s">
        <v>27</v>
      </c>
      <c r="F13" s="2" t="s">
        <v>26</v>
      </c>
      <c r="G13" s="14"/>
      <c r="H13" s="14"/>
      <c r="I13" s="14"/>
      <c r="J13" s="15" t="s">
        <v>94</v>
      </c>
    </row>
    <row r="14" spans="1:15" x14ac:dyDescent="0.35">
      <c r="A14" s="7">
        <v>13</v>
      </c>
      <c r="B14" s="13">
        <v>45864</v>
      </c>
      <c r="C14" s="2" t="s">
        <v>132</v>
      </c>
      <c r="D14" s="2" t="s">
        <v>132</v>
      </c>
      <c r="E14" s="2" t="s">
        <v>8</v>
      </c>
      <c r="F14" s="2" t="s">
        <v>133</v>
      </c>
      <c r="G14" s="14"/>
      <c r="H14" s="14"/>
      <c r="I14" s="14"/>
      <c r="J14" s="15" t="s">
        <v>94</v>
      </c>
    </row>
    <row r="15" spans="1:15" ht="15" thickBot="1" x14ac:dyDescent="0.4">
      <c r="A15" s="12">
        <v>14</v>
      </c>
      <c r="B15" s="13">
        <v>45871</v>
      </c>
      <c r="C15" s="2" t="s">
        <v>130</v>
      </c>
      <c r="D15" s="2" t="s">
        <v>130</v>
      </c>
      <c r="E15" s="2" t="s">
        <v>8</v>
      </c>
      <c r="F15" s="2" t="s">
        <v>131</v>
      </c>
      <c r="G15" s="14"/>
      <c r="H15" s="14"/>
      <c r="I15" s="14"/>
      <c r="J15" s="15" t="s">
        <v>94</v>
      </c>
      <c r="O15" s="1"/>
    </row>
    <row r="16" spans="1:15" x14ac:dyDescent="0.35">
      <c r="A16" s="7">
        <v>15</v>
      </c>
      <c r="B16" s="13">
        <v>45872</v>
      </c>
      <c r="C16" s="2" t="s">
        <v>111</v>
      </c>
      <c r="D16" s="2" t="s">
        <v>111</v>
      </c>
      <c r="E16" s="2" t="s">
        <v>27</v>
      </c>
      <c r="F16" s="2" t="s">
        <v>112</v>
      </c>
      <c r="G16" s="14"/>
      <c r="H16" s="14"/>
      <c r="I16" s="14"/>
      <c r="J16" s="15" t="s">
        <v>93</v>
      </c>
      <c r="O16" s="1"/>
    </row>
    <row r="17" spans="1:15" ht="15" thickBot="1" x14ac:dyDescent="0.4">
      <c r="A17" s="12">
        <v>16</v>
      </c>
      <c r="B17" s="13">
        <v>45878</v>
      </c>
      <c r="C17" s="2" t="s">
        <v>126</v>
      </c>
      <c r="D17" s="2" t="s">
        <v>126</v>
      </c>
      <c r="E17" s="2" t="s">
        <v>8</v>
      </c>
      <c r="F17" s="2" t="s">
        <v>129</v>
      </c>
      <c r="G17" s="14"/>
      <c r="H17" s="14"/>
      <c r="I17" s="14"/>
      <c r="J17" s="15" t="s">
        <v>94</v>
      </c>
      <c r="O17" s="1"/>
    </row>
    <row r="18" spans="1:15" x14ac:dyDescent="0.35">
      <c r="A18" s="7">
        <v>17</v>
      </c>
      <c r="B18" s="13">
        <v>45884</v>
      </c>
      <c r="C18" s="2" t="s">
        <v>29</v>
      </c>
      <c r="D18" s="2" t="s">
        <v>29</v>
      </c>
      <c r="E18" s="2" t="s">
        <v>23</v>
      </c>
      <c r="F18" s="2" t="s">
        <v>30</v>
      </c>
      <c r="G18" s="14"/>
      <c r="H18" s="14"/>
      <c r="I18" s="14"/>
      <c r="J18" s="15" t="s">
        <v>93</v>
      </c>
      <c r="O18" s="1"/>
    </row>
    <row r="19" spans="1:15" ht="15" thickBot="1" x14ac:dyDescent="0.4">
      <c r="A19" s="12">
        <v>18</v>
      </c>
      <c r="B19" s="13">
        <v>45886</v>
      </c>
      <c r="C19" s="2" t="s">
        <v>31</v>
      </c>
      <c r="D19" s="2" t="s">
        <v>31</v>
      </c>
      <c r="E19" s="2" t="s">
        <v>33</v>
      </c>
      <c r="F19" s="2" t="s">
        <v>32</v>
      </c>
      <c r="G19" s="14"/>
      <c r="H19" s="14"/>
      <c r="I19" s="14"/>
      <c r="J19" s="15" t="s">
        <v>93</v>
      </c>
      <c r="O19" s="1"/>
    </row>
    <row r="20" spans="1:15" x14ac:dyDescent="0.35">
      <c r="A20" s="7">
        <v>19</v>
      </c>
      <c r="B20" s="13">
        <v>45886</v>
      </c>
      <c r="C20" s="2" t="s">
        <v>34</v>
      </c>
      <c r="D20" s="2" t="s">
        <v>34</v>
      </c>
      <c r="E20" s="2" t="s">
        <v>36</v>
      </c>
      <c r="F20" s="2" t="s">
        <v>35</v>
      </c>
      <c r="G20" s="14"/>
      <c r="H20" s="14"/>
      <c r="I20" s="14"/>
      <c r="J20" s="15" t="s">
        <v>94</v>
      </c>
    </row>
    <row r="21" spans="1:15" ht="15" thickBot="1" x14ac:dyDescent="0.4">
      <c r="A21" s="12">
        <v>20</v>
      </c>
      <c r="B21" s="13">
        <v>45886</v>
      </c>
      <c r="C21" s="2" t="s">
        <v>127</v>
      </c>
      <c r="D21" s="2" t="s">
        <v>127</v>
      </c>
      <c r="E21" s="2" t="s">
        <v>43</v>
      </c>
      <c r="F21" s="2" t="s">
        <v>134</v>
      </c>
      <c r="G21" s="14"/>
      <c r="H21" s="14"/>
      <c r="I21" s="14"/>
      <c r="J21" s="15" t="s">
        <v>93</v>
      </c>
    </row>
    <row r="22" spans="1:15" x14ac:dyDescent="0.35">
      <c r="A22" s="7">
        <v>21</v>
      </c>
      <c r="B22" s="13">
        <v>45886</v>
      </c>
      <c r="C22" s="2" t="s">
        <v>122</v>
      </c>
      <c r="D22" s="2" t="s">
        <v>122</v>
      </c>
      <c r="E22" s="2" t="s">
        <v>36</v>
      </c>
      <c r="F22" s="2" t="s">
        <v>35</v>
      </c>
      <c r="G22" s="14"/>
      <c r="H22" s="14"/>
      <c r="I22" s="14"/>
      <c r="J22" s="15" t="s">
        <v>94</v>
      </c>
    </row>
    <row r="23" spans="1:15" ht="15" thickBot="1" x14ac:dyDescent="0.4">
      <c r="A23" s="12">
        <v>22</v>
      </c>
      <c r="B23" s="13">
        <v>45891</v>
      </c>
      <c r="C23" s="2" t="s">
        <v>123</v>
      </c>
      <c r="D23" s="2" t="s">
        <v>123</v>
      </c>
      <c r="E23" s="2" t="s">
        <v>27</v>
      </c>
      <c r="F23" s="2" t="s">
        <v>135</v>
      </c>
      <c r="G23" s="14"/>
      <c r="H23" s="14"/>
      <c r="I23" s="14"/>
      <c r="J23" s="15" t="s">
        <v>94</v>
      </c>
      <c r="O23" s="1"/>
    </row>
    <row r="24" spans="1:15" x14ac:dyDescent="0.35">
      <c r="A24" s="7">
        <v>23</v>
      </c>
      <c r="B24" s="13">
        <v>45892</v>
      </c>
      <c r="C24" s="2" t="s">
        <v>124</v>
      </c>
      <c r="D24" s="2" t="s">
        <v>124</v>
      </c>
      <c r="E24" s="2" t="s">
        <v>27</v>
      </c>
      <c r="F24" s="2" t="s">
        <v>135</v>
      </c>
      <c r="G24" s="14"/>
      <c r="H24" s="14"/>
      <c r="I24" s="14"/>
      <c r="J24" s="15" t="s">
        <v>94</v>
      </c>
      <c r="O24" s="1"/>
    </row>
    <row r="25" spans="1:15" ht="15" thickBot="1" x14ac:dyDescent="0.4">
      <c r="A25" s="12">
        <v>24</v>
      </c>
      <c r="B25" s="13">
        <v>45893</v>
      </c>
      <c r="C25" s="2" t="s">
        <v>125</v>
      </c>
      <c r="D25" s="2" t="s">
        <v>125</v>
      </c>
      <c r="E25" s="2" t="s">
        <v>27</v>
      </c>
      <c r="F25" s="2" t="s">
        <v>135</v>
      </c>
      <c r="G25" s="14"/>
      <c r="H25" s="14"/>
      <c r="I25" s="14"/>
      <c r="J25" s="15" t="s">
        <v>94</v>
      </c>
      <c r="M25" s="4">
        <f>53340+112000+105000+123000+150000+50000</f>
        <v>593340</v>
      </c>
      <c r="O25" s="1"/>
    </row>
    <row r="26" spans="1:15" x14ac:dyDescent="0.35">
      <c r="A26" s="7">
        <v>25</v>
      </c>
      <c r="B26" s="13">
        <v>45893</v>
      </c>
      <c r="C26" s="2" t="s">
        <v>37</v>
      </c>
      <c r="D26" s="2" t="s">
        <v>37</v>
      </c>
      <c r="E26" s="2" t="s">
        <v>19</v>
      </c>
      <c r="F26" s="2" t="s">
        <v>38</v>
      </c>
      <c r="G26" s="14"/>
      <c r="H26" s="14"/>
      <c r="I26" s="14"/>
      <c r="J26" s="15" t="s">
        <v>93</v>
      </c>
      <c r="M26" s="4">
        <f>662523+140000</f>
        <v>802523</v>
      </c>
      <c r="O26" s="1"/>
    </row>
    <row r="27" spans="1:15" ht="15" thickBot="1" x14ac:dyDescent="0.4">
      <c r="A27" s="12">
        <v>26</v>
      </c>
      <c r="B27" s="13">
        <v>45899</v>
      </c>
      <c r="C27" s="2" t="s">
        <v>113</v>
      </c>
      <c r="D27" s="2" t="s">
        <v>113</v>
      </c>
      <c r="E27" s="2" t="s">
        <v>64</v>
      </c>
      <c r="F27" s="2" t="s">
        <v>114</v>
      </c>
      <c r="G27" s="14"/>
      <c r="H27" s="14"/>
      <c r="I27" s="14"/>
      <c r="J27" s="15" t="s">
        <v>94</v>
      </c>
      <c r="M27" s="4">
        <f>M26-M25</f>
        <v>209183</v>
      </c>
    </row>
    <row r="28" spans="1:15" x14ac:dyDescent="0.35">
      <c r="A28" s="7">
        <v>27</v>
      </c>
      <c r="B28" s="13">
        <v>45899</v>
      </c>
      <c r="C28" s="2" t="s">
        <v>39</v>
      </c>
      <c r="D28" s="2" t="s">
        <v>39</v>
      </c>
      <c r="E28" s="2" t="s">
        <v>41</v>
      </c>
      <c r="F28" s="2" t="s">
        <v>40</v>
      </c>
      <c r="G28" s="14"/>
      <c r="H28" s="14"/>
      <c r="I28" s="14"/>
      <c r="J28" s="15" t="s">
        <v>93</v>
      </c>
      <c r="O28" s="1"/>
    </row>
    <row r="29" spans="1:15" ht="15" thickBot="1" x14ac:dyDescent="0.4">
      <c r="A29" s="12">
        <v>28</v>
      </c>
      <c r="B29" s="13">
        <v>45900</v>
      </c>
      <c r="C29" s="2" t="s">
        <v>117</v>
      </c>
      <c r="D29" s="2" t="s">
        <v>117</v>
      </c>
      <c r="E29" s="2" t="s">
        <v>28</v>
      </c>
      <c r="F29" s="2" t="s">
        <v>136</v>
      </c>
      <c r="G29" s="14"/>
      <c r="H29" s="14"/>
      <c r="I29" s="14"/>
      <c r="J29" s="15" t="s">
        <v>94</v>
      </c>
    </row>
    <row r="30" spans="1:15" x14ac:dyDescent="0.35">
      <c r="A30" s="7">
        <v>29</v>
      </c>
      <c r="B30" s="13">
        <v>45904</v>
      </c>
      <c r="C30" s="2" t="s">
        <v>137</v>
      </c>
      <c r="D30" s="2" t="s">
        <v>137</v>
      </c>
      <c r="E30" s="2" t="s">
        <v>43</v>
      </c>
      <c r="F30" s="2" t="s">
        <v>138</v>
      </c>
      <c r="G30" s="14"/>
      <c r="H30" s="14"/>
      <c r="I30" s="14"/>
      <c r="J30" s="15" t="s">
        <v>94</v>
      </c>
    </row>
    <row r="31" spans="1:15" ht="15" thickBot="1" x14ac:dyDescent="0.4">
      <c r="A31" s="12">
        <v>30</v>
      </c>
      <c r="B31" s="13">
        <v>45906</v>
      </c>
      <c r="C31" s="2" t="s">
        <v>148</v>
      </c>
      <c r="D31" s="2" t="s">
        <v>148</v>
      </c>
      <c r="E31" s="2" t="s">
        <v>150</v>
      </c>
      <c r="F31" s="2" t="s">
        <v>149</v>
      </c>
      <c r="G31" s="14"/>
      <c r="H31" s="14"/>
      <c r="I31" s="14"/>
      <c r="J31" s="15" t="s">
        <v>94</v>
      </c>
    </row>
    <row r="32" spans="1:15" x14ac:dyDescent="0.35">
      <c r="A32" s="7">
        <v>31</v>
      </c>
      <c r="B32" s="13">
        <v>45907</v>
      </c>
      <c r="C32" s="2" t="s">
        <v>119</v>
      </c>
      <c r="D32" s="2" t="s">
        <v>119</v>
      </c>
      <c r="E32" s="2" t="s">
        <v>36</v>
      </c>
      <c r="F32" s="2" t="s">
        <v>128</v>
      </c>
      <c r="G32" s="14"/>
      <c r="H32" s="14"/>
      <c r="I32" s="14"/>
      <c r="J32" s="15" t="s">
        <v>94</v>
      </c>
    </row>
    <row r="33" spans="1:15" ht="15" thickBot="1" x14ac:dyDescent="0.4">
      <c r="A33" s="12">
        <v>32</v>
      </c>
      <c r="B33" s="13">
        <v>45907</v>
      </c>
      <c r="C33" s="2" t="s">
        <v>118</v>
      </c>
      <c r="D33" s="2" t="s">
        <v>118</v>
      </c>
      <c r="E33" s="2" t="s">
        <v>43</v>
      </c>
      <c r="F33" s="2" t="s">
        <v>42</v>
      </c>
      <c r="G33" s="14"/>
      <c r="H33" s="14"/>
      <c r="I33" s="14"/>
      <c r="J33" s="15" t="s">
        <v>93</v>
      </c>
      <c r="O33" s="1"/>
    </row>
    <row r="34" spans="1:15" x14ac:dyDescent="0.35">
      <c r="A34" s="7">
        <v>33</v>
      </c>
      <c r="B34" s="13">
        <v>45910</v>
      </c>
      <c r="C34" s="2" t="s">
        <v>47</v>
      </c>
      <c r="D34" s="2" t="s">
        <v>47</v>
      </c>
      <c r="E34" s="2" t="s">
        <v>23</v>
      </c>
      <c r="F34" s="2" t="s">
        <v>48</v>
      </c>
      <c r="G34" s="14"/>
      <c r="H34" s="14"/>
      <c r="I34" s="14"/>
      <c r="J34" s="15" t="s">
        <v>94</v>
      </c>
    </row>
    <row r="35" spans="1:15" ht="15" thickBot="1" x14ac:dyDescent="0.4">
      <c r="A35" s="12">
        <v>34</v>
      </c>
      <c r="B35" s="13">
        <v>45911</v>
      </c>
      <c r="C35" s="2" t="s">
        <v>47</v>
      </c>
      <c r="D35" s="2" t="s">
        <v>47</v>
      </c>
      <c r="E35" s="2" t="s">
        <v>36</v>
      </c>
      <c r="F35" s="2" t="s">
        <v>48</v>
      </c>
      <c r="G35" s="14"/>
      <c r="H35" s="14"/>
      <c r="I35" s="14"/>
      <c r="J35" s="15" t="s">
        <v>94</v>
      </c>
    </row>
    <row r="36" spans="1:15" x14ac:dyDescent="0.35">
      <c r="A36" s="7">
        <v>35</v>
      </c>
      <c r="B36" s="13">
        <v>45913</v>
      </c>
      <c r="C36" s="2" t="s">
        <v>49</v>
      </c>
      <c r="D36" s="2" t="s">
        <v>49</v>
      </c>
      <c r="E36" s="2" t="s">
        <v>51</v>
      </c>
      <c r="F36" s="2" t="s">
        <v>50</v>
      </c>
      <c r="G36" s="14"/>
      <c r="H36" s="14"/>
      <c r="I36" s="14"/>
      <c r="J36" s="15" t="s">
        <v>93</v>
      </c>
      <c r="O36" s="1"/>
    </row>
    <row r="37" spans="1:15" ht="15" thickBot="1" x14ac:dyDescent="0.4">
      <c r="A37" s="12">
        <v>36</v>
      </c>
      <c r="B37" s="13">
        <v>45914</v>
      </c>
      <c r="C37" s="2" t="s">
        <v>49</v>
      </c>
      <c r="D37" s="2" t="s">
        <v>49</v>
      </c>
      <c r="E37" s="2" t="s">
        <v>19</v>
      </c>
      <c r="F37" s="2" t="s">
        <v>50</v>
      </c>
      <c r="G37" s="14"/>
      <c r="H37" s="14"/>
      <c r="I37" s="14"/>
      <c r="J37" s="15" t="s">
        <v>93</v>
      </c>
      <c r="O37" s="1"/>
    </row>
    <row r="38" spans="1:15" x14ac:dyDescent="0.35">
      <c r="A38" s="7">
        <v>37</v>
      </c>
      <c r="B38" s="13">
        <v>45914</v>
      </c>
      <c r="C38" s="2" t="s">
        <v>53</v>
      </c>
      <c r="D38" s="2" t="s">
        <v>53</v>
      </c>
      <c r="E38" s="2" t="s">
        <v>43</v>
      </c>
      <c r="F38" s="2" t="s">
        <v>57</v>
      </c>
      <c r="G38" s="14"/>
      <c r="H38" s="14"/>
      <c r="I38" s="14"/>
      <c r="J38" s="15" t="s">
        <v>95</v>
      </c>
      <c r="O38" s="1"/>
    </row>
    <row r="39" spans="1:15" ht="15" thickBot="1" x14ac:dyDescent="0.4">
      <c r="A39" s="12">
        <v>38</v>
      </c>
      <c r="B39" s="13">
        <v>45914</v>
      </c>
      <c r="C39" s="2" t="s">
        <v>52</v>
      </c>
      <c r="D39" s="2" t="s">
        <v>52</v>
      </c>
      <c r="E39" s="2" t="s">
        <v>19</v>
      </c>
      <c r="F39" s="2" t="s">
        <v>54</v>
      </c>
      <c r="G39" s="14"/>
      <c r="H39" s="14"/>
      <c r="I39" s="14"/>
      <c r="J39" s="15" t="s">
        <v>94</v>
      </c>
    </row>
    <row r="40" spans="1:15" x14ac:dyDescent="0.35">
      <c r="A40" s="7">
        <v>39</v>
      </c>
      <c r="B40" s="13">
        <v>45934</v>
      </c>
      <c r="C40" s="2" t="s">
        <v>115</v>
      </c>
      <c r="D40" s="2" t="s">
        <v>115</v>
      </c>
      <c r="E40" s="2" t="s">
        <v>97</v>
      </c>
      <c r="F40" s="2" t="s">
        <v>164</v>
      </c>
      <c r="G40" s="14"/>
      <c r="H40" s="14"/>
      <c r="I40" s="14"/>
      <c r="J40" s="15" t="s">
        <v>94</v>
      </c>
    </row>
    <row r="41" spans="1:15" ht="15" thickBot="1" x14ac:dyDescent="0.4">
      <c r="A41" s="12">
        <v>40</v>
      </c>
      <c r="B41" s="13">
        <v>45962</v>
      </c>
      <c r="C41" s="2" t="s">
        <v>139</v>
      </c>
      <c r="D41" s="2" t="s">
        <v>139</v>
      </c>
      <c r="E41" s="2" t="s">
        <v>140</v>
      </c>
      <c r="F41" s="2" t="s">
        <v>40</v>
      </c>
      <c r="G41" s="14"/>
      <c r="H41" s="14"/>
      <c r="I41" s="14"/>
      <c r="J41" s="15" t="s">
        <v>93</v>
      </c>
      <c r="O41" s="1"/>
    </row>
    <row r="42" spans="1:15" x14ac:dyDescent="0.35">
      <c r="A42" s="7">
        <v>41</v>
      </c>
      <c r="B42" s="13">
        <v>45962</v>
      </c>
      <c r="C42" s="2" t="s">
        <v>177</v>
      </c>
      <c r="D42" s="2" t="s">
        <v>177</v>
      </c>
      <c r="E42" s="2" t="s">
        <v>102</v>
      </c>
      <c r="F42" s="2" t="s">
        <v>178</v>
      </c>
      <c r="G42" s="14"/>
      <c r="H42" s="14"/>
      <c r="I42" s="14"/>
      <c r="J42" s="15" t="s">
        <v>94</v>
      </c>
      <c r="O42" s="1"/>
    </row>
    <row r="43" spans="1:15" ht="15" thickBot="1" x14ac:dyDescent="0.4">
      <c r="A43" s="12">
        <v>42</v>
      </c>
      <c r="B43" s="13">
        <v>45963</v>
      </c>
      <c r="C43" s="2" t="s">
        <v>177</v>
      </c>
      <c r="D43" s="2" t="s">
        <v>177</v>
      </c>
      <c r="E43" s="2" t="s">
        <v>102</v>
      </c>
      <c r="F43" s="2" t="s">
        <v>178</v>
      </c>
      <c r="G43" s="14"/>
      <c r="H43" s="14"/>
      <c r="I43" s="14"/>
      <c r="J43" s="15" t="s">
        <v>94</v>
      </c>
      <c r="O43" s="1"/>
    </row>
    <row r="44" spans="1:15" x14ac:dyDescent="0.35">
      <c r="A44" s="7">
        <v>43</v>
      </c>
      <c r="B44" s="13">
        <v>45963</v>
      </c>
      <c r="C44" s="2" t="s">
        <v>139</v>
      </c>
      <c r="D44" s="2" t="s">
        <v>139</v>
      </c>
      <c r="E44" s="2" t="s">
        <v>141</v>
      </c>
      <c r="F44" s="2" t="s">
        <v>40</v>
      </c>
      <c r="G44" s="14"/>
      <c r="H44" s="14"/>
      <c r="I44" s="14"/>
      <c r="J44" s="15" t="s">
        <v>93</v>
      </c>
      <c r="O44" s="1"/>
    </row>
    <row r="45" spans="1:15" ht="15" thickBot="1" x14ac:dyDescent="0.4">
      <c r="A45" s="12">
        <v>44</v>
      </c>
      <c r="B45" s="13">
        <v>45963</v>
      </c>
      <c r="C45" s="2" t="s">
        <v>175</v>
      </c>
      <c r="D45" s="2" t="s">
        <v>175</v>
      </c>
      <c r="E45" s="2" t="s">
        <v>23</v>
      </c>
      <c r="F45" s="2" t="s">
        <v>176</v>
      </c>
      <c r="G45" s="14"/>
      <c r="H45" s="14"/>
      <c r="I45" s="14"/>
      <c r="J45" s="15" t="s">
        <v>94</v>
      </c>
      <c r="O45" s="1"/>
    </row>
    <row r="46" spans="1:15" x14ac:dyDescent="0.35">
      <c r="A46" s="7">
        <v>45</v>
      </c>
      <c r="B46" s="13">
        <v>45964</v>
      </c>
      <c r="C46" s="2" t="s">
        <v>175</v>
      </c>
      <c r="D46" s="2" t="s">
        <v>175</v>
      </c>
      <c r="E46" s="2" t="s">
        <v>157</v>
      </c>
      <c r="F46" s="2" t="s">
        <v>176</v>
      </c>
      <c r="G46" s="14"/>
      <c r="H46" s="14"/>
      <c r="I46" s="14"/>
      <c r="J46" s="15" t="s">
        <v>94</v>
      </c>
      <c r="O46" s="1"/>
    </row>
    <row r="47" spans="1:15" ht="15" thickBot="1" x14ac:dyDescent="0.4">
      <c r="A47" s="12">
        <v>46</v>
      </c>
      <c r="B47" s="13">
        <v>45967</v>
      </c>
      <c r="C47" s="2" t="s">
        <v>65</v>
      </c>
      <c r="D47" s="2" t="s">
        <v>65</v>
      </c>
      <c r="E47" s="2" t="s">
        <v>51</v>
      </c>
      <c r="F47" s="2" t="s">
        <v>66</v>
      </c>
      <c r="G47" s="14"/>
      <c r="H47" s="14"/>
      <c r="I47" s="14"/>
      <c r="J47" s="15" t="s">
        <v>93</v>
      </c>
      <c r="O47" s="1"/>
    </row>
    <row r="48" spans="1:15" x14ac:dyDescent="0.35">
      <c r="A48" s="7">
        <v>47</v>
      </c>
      <c r="B48" s="13">
        <v>45968</v>
      </c>
      <c r="C48" s="2" t="s">
        <v>65</v>
      </c>
      <c r="D48" s="2" t="s">
        <v>65</v>
      </c>
      <c r="E48" s="2" t="s">
        <v>67</v>
      </c>
      <c r="F48" s="2" t="s">
        <v>66</v>
      </c>
      <c r="G48" s="14"/>
      <c r="H48" s="14"/>
      <c r="I48" s="14"/>
      <c r="J48" s="15" t="s">
        <v>93</v>
      </c>
      <c r="O48" s="1"/>
    </row>
    <row r="49" spans="1:15" ht="15" thickBot="1" x14ac:dyDescent="0.4">
      <c r="A49" s="12">
        <v>48</v>
      </c>
      <c r="B49" s="13">
        <v>45967</v>
      </c>
      <c r="C49" s="2" t="s">
        <v>153</v>
      </c>
      <c r="D49" s="2" t="s">
        <v>153</v>
      </c>
      <c r="E49" s="2" t="s">
        <v>51</v>
      </c>
      <c r="F49" s="2" t="s">
        <v>154</v>
      </c>
      <c r="G49" s="14"/>
      <c r="H49" s="14"/>
      <c r="I49" s="14"/>
      <c r="J49" s="15" t="s">
        <v>93</v>
      </c>
      <c r="O49" s="1"/>
    </row>
    <row r="50" spans="1:15" x14ac:dyDescent="0.35">
      <c r="A50" s="7">
        <v>49</v>
      </c>
      <c r="B50" s="13">
        <v>45968</v>
      </c>
      <c r="C50" s="2" t="s">
        <v>153</v>
      </c>
      <c r="D50" s="2" t="s">
        <v>153</v>
      </c>
      <c r="E50" s="2" t="s">
        <v>67</v>
      </c>
      <c r="F50" s="2" t="s">
        <v>154</v>
      </c>
      <c r="G50" s="14"/>
      <c r="H50" s="14"/>
      <c r="I50" s="14"/>
      <c r="J50" s="15" t="s">
        <v>93</v>
      </c>
      <c r="O50" s="1"/>
    </row>
    <row r="51" spans="1:15" ht="15" thickBot="1" x14ac:dyDescent="0.4">
      <c r="A51" s="12">
        <v>50</v>
      </c>
      <c r="B51" s="13">
        <v>45970</v>
      </c>
      <c r="C51" s="2" t="s">
        <v>58</v>
      </c>
      <c r="D51" s="2" t="s">
        <v>58</v>
      </c>
      <c r="E51" s="2" t="s">
        <v>36</v>
      </c>
      <c r="F51" s="2" t="s">
        <v>30</v>
      </c>
      <c r="G51" s="14"/>
      <c r="H51" s="14"/>
      <c r="I51" s="14"/>
      <c r="J51" s="15" t="s">
        <v>94</v>
      </c>
    </row>
    <row r="52" spans="1:15" s="27" customFormat="1" x14ac:dyDescent="0.35">
      <c r="A52" s="22">
        <v>51</v>
      </c>
      <c r="B52" s="23">
        <v>45978</v>
      </c>
      <c r="C52" s="24" t="s">
        <v>179</v>
      </c>
      <c r="D52" s="24" t="s">
        <v>179</v>
      </c>
      <c r="E52" s="24" t="s">
        <v>162</v>
      </c>
      <c r="F52" s="24" t="s">
        <v>180</v>
      </c>
      <c r="G52" s="25"/>
      <c r="H52" s="25"/>
      <c r="I52" s="25"/>
      <c r="J52" s="26" t="s">
        <v>94</v>
      </c>
      <c r="O52" s="28"/>
    </row>
    <row r="53" spans="1:15" ht="15" thickBot="1" x14ac:dyDescent="0.4">
      <c r="A53" s="12">
        <v>52</v>
      </c>
      <c r="B53" s="13">
        <v>45981</v>
      </c>
      <c r="C53" s="2" t="s">
        <v>59</v>
      </c>
      <c r="D53" s="2" t="s">
        <v>59</v>
      </c>
      <c r="E53" s="2" t="s">
        <v>51</v>
      </c>
      <c r="F53" s="2" t="s">
        <v>13</v>
      </c>
      <c r="G53" s="14"/>
      <c r="H53" s="14"/>
      <c r="I53" s="14"/>
      <c r="J53" s="15" t="s">
        <v>93</v>
      </c>
      <c r="O53" s="1"/>
    </row>
    <row r="54" spans="1:15" x14ac:dyDescent="0.35">
      <c r="A54" s="7">
        <v>53</v>
      </c>
      <c r="B54" s="13">
        <v>45982</v>
      </c>
      <c r="C54" s="2" t="s">
        <v>59</v>
      </c>
      <c r="D54" s="2" t="s">
        <v>59</v>
      </c>
      <c r="E54" s="2" t="s">
        <v>60</v>
      </c>
      <c r="F54" s="2" t="s">
        <v>13</v>
      </c>
      <c r="G54" s="14"/>
      <c r="H54" s="14"/>
      <c r="I54" s="14"/>
      <c r="J54" s="15" t="s">
        <v>93</v>
      </c>
    </row>
    <row r="55" spans="1:15" ht="15" thickBot="1" x14ac:dyDescent="0.4">
      <c r="A55" s="12">
        <v>54</v>
      </c>
      <c r="B55" s="13">
        <v>45983</v>
      </c>
      <c r="C55" s="2" t="s">
        <v>59</v>
      </c>
      <c r="D55" s="2" t="s">
        <v>59</v>
      </c>
      <c r="E55" s="2" t="s">
        <v>60</v>
      </c>
      <c r="F55" s="2" t="s">
        <v>13</v>
      </c>
      <c r="G55" s="14"/>
      <c r="H55" s="14"/>
      <c r="I55" s="14"/>
      <c r="J55" s="15" t="s">
        <v>93</v>
      </c>
    </row>
    <row r="56" spans="1:15" x14ac:dyDescent="0.35">
      <c r="A56" s="7">
        <v>55</v>
      </c>
      <c r="B56" s="13">
        <v>45984</v>
      </c>
      <c r="C56" s="2" t="s">
        <v>197</v>
      </c>
      <c r="D56" s="2" t="s">
        <v>197</v>
      </c>
      <c r="E56" s="2" t="s">
        <v>150</v>
      </c>
      <c r="F56" s="2" t="s">
        <v>196</v>
      </c>
      <c r="G56" s="14"/>
      <c r="H56" s="14"/>
      <c r="I56" s="14"/>
      <c r="J56" s="15" t="s">
        <v>94</v>
      </c>
    </row>
    <row r="57" spans="1:15" ht="15" thickBot="1" x14ac:dyDescent="0.4">
      <c r="A57" s="12">
        <v>56</v>
      </c>
      <c r="B57" s="13">
        <v>45985</v>
      </c>
      <c r="C57" s="2" t="s">
        <v>151</v>
      </c>
      <c r="D57" s="2" t="s">
        <v>151</v>
      </c>
      <c r="E57" s="2" t="s">
        <v>150</v>
      </c>
      <c r="F57" s="2" t="s">
        <v>152</v>
      </c>
      <c r="G57" s="14"/>
      <c r="H57" s="14"/>
      <c r="I57" s="14"/>
      <c r="J57" s="15" t="s">
        <v>93</v>
      </c>
    </row>
    <row r="58" spans="1:15" x14ac:dyDescent="0.35">
      <c r="A58" s="7">
        <v>57</v>
      </c>
      <c r="B58" s="13">
        <v>45986</v>
      </c>
      <c r="C58" s="2" t="s">
        <v>107</v>
      </c>
      <c r="D58" s="2" t="s">
        <v>107</v>
      </c>
      <c r="E58" s="2" t="s">
        <v>77</v>
      </c>
      <c r="F58" s="2" t="s">
        <v>70</v>
      </c>
      <c r="G58" s="14"/>
      <c r="H58" s="14"/>
      <c r="I58" s="14"/>
      <c r="J58" s="15" t="s">
        <v>94</v>
      </c>
    </row>
    <row r="59" spans="1:15" ht="15" thickBot="1" x14ac:dyDescent="0.4">
      <c r="A59" s="12">
        <v>58</v>
      </c>
      <c r="B59" s="13">
        <v>45987</v>
      </c>
      <c r="C59" s="2" t="s">
        <v>107</v>
      </c>
      <c r="D59" s="2" t="s">
        <v>107</v>
      </c>
      <c r="E59" s="2" t="s">
        <v>108</v>
      </c>
      <c r="F59" s="2" t="s">
        <v>70</v>
      </c>
      <c r="G59" s="14"/>
      <c r="H59" s="14"/>
      <c r="I59" s="14"/>
      <c r="J59" s="15" t="s">
        <v>94</v>
      </c>
    </row>
    <row r="60" spans="1:15" x14ac:dyDescent="0.35">
      <c r="A60" s="7">
        <v>59</v>
      </c>
      <c r="B60" s="13">
        <v>45990</v>
      </c>
      <c r="C60" s="2" t="s">
        <v>61</v>
      </c>
      <c r="D60" s="2" t="s">
        <v>61</v>
      </c>
      <c r="E60" s="2" t="s">
        <v>64</v>
      </c>
      <c r="F60" s="2" t="s">
        <v>62</v>
      </c>
      <c r="G60" s="14"/>
      <c r="H60" s="14"/>
      <c r="I60" s="14"/>
      <c r="J60" s="15" t="s">
        <v>93</v>
      </c>
      <c r="O60" s="1"/>
    </row>
    <row r="61" spans="1:15" ht="15" thickBot="1" x14ac:dyDescent="0.4">
      <c r="A61" s="12">
        <v>60</v>
      </c>
      <c r="B61" s="13">
        <v>45991</v>
      </c>
      <c r="C61" s="2" t="s">
        <v>61</v>
      </c>
      <c r="D61" s="2" t="s">
        <v>61</v>
      </c>
      <c r="E61" s="2" t="s">
        <v>63</v>
      </c>
      <c r="F61" s="2" t="s">
        <v>62</v>
      </c>
      <c r="G61" s="14"/>
      <c r="H61" s="14"/>
      <c r="I61" s="14"/>
      <c r="J61" s="15" t="s">
        <v>93</v>
      </c>
      <c r="O61" s="1"/>
    </row>
    <row r="62" spans="1:15" x14ac:dyDescent="0.35">
      <c r="A62" s="7">
        <v>61</v>
      </c>
      <c r="B62" s="13">
        <v>45991</v>
      </c>
      <c r="C62" s="2" t="s">
        <v>68</v>
      </c>
      <c r="D62" s="2" t="s">
        <v>68</v>
      </c>
      <c r="E62" s="2" t="s">
        <v>63</v>
      </c>
      <c r="F62" s="2" t="s">
        <v>62</v>
      </c>
      <c r="G62" s="14"/>
      <c r="H62" s="14"/>
      <c r="I62" s="14"/>
      <c r="J62" s="15" t="s">
        <v>93</v>
      </c>
      <c r="O62" s="1"/>
    </row>
    <row r="63" spans="1:15" ht="15" thickBot="1" x14ac:dyDescent="0.4">
      <c r="A63" s="12">
        <v>62</v>
      </c>
      <c r="B63" s="13">
        <v>45992</v>
      </c>
      <c r="C63" s="2" t="s">
        <v>68</v>
      </c>
      <c r="D63" s="2" t="s">
        <v>68</v>
      </c>
      <c r="E63" s="2" t="s">
        <v>63</v>
      </c>
      <c r="F63" s="2" t="s">
        <v>62</v>
      </c>
      <c r="G63" s="14"/>
      <c r="H63" s="14"/>
      <c r="I63" s="14"/>
      <c r="J63" s="15" t="s">
        <v>93</v>
      </c>
      <c r="O63" s="1"/>
    </row>
    <row r="64" spans="1:15" x14ac:dyDescent="0.35">
      <c r="A64" s="7">
        <v>63</v>
      </c>
      <c r="B64" s="13">
        <v>46002</v>
      </c>
      <c r="C64" s="2" t="s">
        <v>121</v>
      </c>
      <c r="D64" s="2" t="s">
        <v>121</v>
      </c>
      <c r="E64" s="2" t="s">
        <v>74</v>
      </c>
      <c r="F64" s="2" t="s">
        <v>70</v>
      </c>
      <c r="G64" s="14"/>
      <c r="H64" s="14"/>
      <c r="I64" s="14"/>
      <c r="J64" s="15" t="s">
        <v>93</v>
      </c>
      <c r="O64" s="1"/>
    </row>
    <row r="65" spans="1:15" ht="15" thickBot="1" x14ac:dyDescent="0.4">
      <c r="A65" s="12">
        <v>64</v>
      </c>
      <c r="B65" s="13">
        <v>46002</v>
      </c>
      <c r="C65" s="2" t="s">
        <v>155</v>
      </c>
      <c r="D65" s="2" t="s">
        <v>155</v>
      </c>
      <c r="E65" s="2" t="s">
        <v>25</v>
      </c>
      <c r="F65" s="2" t="s">
        <v>73</v>
      </c>
      <c r="G65" s="14"/>
      <c r="H65" s="14"/>
      <c r="I65" s="14"/>
      <c r="J65" s="15" t="s">
        <v>94</v>
      </c>
      <c r="O65" s="1"/>
    </row>
    <row r="66" spans="1:15" x14ac:dyDescent="0.35">
      <c r="A66" s="7">
        <v>65</v>
      </c>
      <c r="B66" s="13">
        <v>46002</v>
      </c>
      <c r="C66" s="2" t="s">
        <v>137</v>
      </c>
      <c r="D66" s="2" t="s">
        <v>137</v>
      </c>
      <c r="E66" s="2" t="s">
        <v>25</v>
      </c>
      <c r="F66" s="2" t="s">
        <v>168</v>
      </c>
      <c r="G66" s="14"/>
      <c r="H66" s="14"/>
      <c r="I66" s="14"/>
      <c r="J66" s="15" t="s">
        <v>94</v>
      </c>
    </row>
    <row r="67" spans="1:15" ht="15" thickBot="1" x14ac:dyDescent="0.4">
      <c r="A67" s="12">
        <v>66</v>
      </c>
      <c r="B67" s="13">
        <v>46003</v>
      </c>
      <c r="C67" s="2" t="s">
        <v>69</v>
      </c>
      <c r="D67" s="2" t="s">
        <v>69</v>
      </c>
      <c r="E67" s="2" t="s">
        <v>51</v>
      </c>
      <c r="F67" s="2" t="s">
        <v>70</v>
      </c>
      <c r="G67" s="14"/>
      <c r="H67" s="14"/>
      <c r="I67" s="14"/>
      <c r="J67" s="15" t="s">
        <v>93</v>
      </c>
      <c r="O67" s="1"/>
    </row>
    <row r="68" spans="1:15" x14ac:dyDescent="0.35">
      <c r="A68" s="7">
        <v>67</v>
      </c>
      <c r="B68" s="13">
        <v>46004</v>
      </c>
      <c r="C68" s="2" t="s">
        <v>69</v>
      </c>
      <c r="D68" s="2" t="s">
        <v>69</v>
      </c>
      <c r="E68" s="2" t="s">
        <v>71</v>
      </c>
      <c r="F68" s="2" t="s">
        <v>38</v>
      </c>
      <c r="G68" s="14"/>
      <c r="H68" s="14"/>
      <c r="I68" s="14"/>
      <c r="J68" s="15" t="s">
        <v>93</v>
      </c>
      <c r="O68" s="1"/>
    </row>
    <row r="69" spans="1:15" ht="15" thickBot="1" x14ac:dyDescent="0.4">
      <c r="A69" s="12">
        <v>68</v>
      </c>
      <c r="B69" s="13">
        <v>46004</v>
      </c>
      <c r="C69" s="2" t="s">
        <v>109</v>
      </c>
      <c r="D69" s="2" t="s">
        <v>109</v>
      </c>
      <c r="E69" s="2" t="s">
        <v>77</v>
      </c>
      <c r="F69" s="2" t="s">
        <v>110</v>
      </c>
      <c r="G69" s="14"/>
      <c r="H69" s="14"/>
      <c r="I69" s="14"/>
      <c r="J69" s="15" t="s">
        <v>94</v>
      </c>
    </row>
    <row r="70" spans="1:15" x14ac:dyDescent="0.35">
      <c r="A70" s="7">
        <v>69</v>
      </c>
      <c r="B70" s="13">
        <v>46005</v>
      </c>
      <c r="C70" s="2" t="s">
        <v>72</v>
      </c>
      <c r="D70" s="2" t="s">
        <v>72</v>
      </c>
      <c r="E70" s="2" t="s">
        <v>74</v>
      </c>
      <c r="F70" s="2" t="s">
        <v>73</v>
      </c>
      <c r="G70" s="14"/>
      <c r="H70" s="14"/>
      <c r="I70" s="14"/>
      <c r="J70" s="15" t="s">
        <v>93</v>
      </c>
      <c r="O70" s="1"/>
    </row>
    <row r="71" spans="1:15" ht="15" thickBot="1" x14ac:dyDescent="0.4">
      <c r="A71" s="12">
        <v>70</v>
      </c>
      <c r="B71" s="13">
        <v>46006</v>
      </c>
      <c r="C71" s="2" t="s">
        <v>72</v>
      </c>
      <c r="D71" s="2" t="s">
        <v>72</v>
      </c>
      <c r="E71" s="2" t="s">
        <v>19</v>
      </c>
      <c r="F71" s="2" t="s">
        <v>73</v>
      </c>
      <c r="G71" s="14"/>
      <c r="H71" s="14"/>
      <c r="I71" s="14"/>
      <c r="J71" s="15" t="s">
        <v>93</v>
      </c>
      <c r="O71" s="1"/>
    </row>
    <row r="72" spans="1:15" x14ac:dyDescent="0.35">
      <c r="A72" s="7">
        <v>71</v>
      </c>
      <c r="B72" s="13">
        <v>46006</v>
      </c>
      <c r="C72" s="2" t="s">
        <v>137</v>
      </c>
      <c r="D72" s="2" t="s">
        <v>137</v>
      </c>
      <c r="E72" s="2" t="s">
        <v>36</v>
      </c>
      <c r="F72" s="2" t="s">
        <v>158</v>
      </c>
      <c r="G72" s="14"/>
      <c r="H72" s="14"/>
      <c r="I72" s="14"/>
      <c r="J72" s="15" t="s">
        <v>94</v>
      </c>
      <c r="O72" s="1"/>
    </row>
    <row r="73" spans="1:15" ht="15" thickBot="1" x14ac:dyDescent="0.4">
      <c r="A73" s="12">
        <v>72</v>
      </c>
      <c r="B73" s="13">
        <v>46006</v>
      </c>
      <c r="C73" s="2" t="s">
        <v>137</v>
      </c>
      <c r="D73" s="2" t="s">
        <v>137</v>
      </c>
      <c r="E73" s="2" t="s">
        <v>162</v>
      </c>
      <c r="F73" s="2" t="s">
        <v>161</v>
      </c>
      <c r="G73" s="14"/>
      <c r="H73" s="14"/>
      <c r="I73" s="14"/>
      <c r="J73" s="15" t="s">
        <v>94</v>
      </c>
      <c r="O73" s="1"/>
    </row>
    <row r="74" spans="1:15" x14ac:dyDescent="0.35">
      <c r="A74" s="7">
        <v>73</v>
      </c>
      <c r="B74" s="13">
        <v>46008</v>
      </c>
      <c r="C74" s="2" t="s">
        <v>166</v>
      </c>
      <c r="D74" s="2" t="s">
        <v>166</v>
      </c>
      <c r="E74" s="2"/>
      <c r="F74" s="2" t="s">
        <v>167</v>
      </c>
      <c r="G74" s="14"/>
      <c r="H74" s="14"/>
      <c r="I74" s="14"/>
      <c r="J74" s="15" t="s">
        <v>94</v>
      </c>
      <c r="O74" s="1"/>
    </row>
    <row r="75" spans="1:15" ht="15" thickBot="1" x14ac:dyDescent="0.4">
      <c r="A75" s="12">
        <v>74</v>
      </c>
      <c r="B75" s="13">
        <v>46009</v>
      </c>
      <c r="C75" s="2" t="s">
        <v>166</v>
      </c>
      <c r="D75" s="2" t="s">
        <v>166</v>
      </c>
      <c r="E75" s="2" t="s">
        <v>163</v>
      </c>
      <c r="F75" s="2" t="s">
        <v>169</v>
      </c>
      <c r="G75" s="14"/>
      <c r="H75" s="14"/>
      <c r="I75" s="14"/>
      <c r="J75" s="15" t="s">
        <v>94</v>
      </c>
      <c r="O75" s="1"/>
    </row>
    <row r="76" spans="1:15" x14ac:dyDescent="0.35">
      <c r="A76" s="7">
        <v>75</v>
      </c>
      <c r="B76" s="13">
        <v>46012</v>
      </c>
      <c r="C76" s="2" t="s">
        <v>156</v>
      </c>
      <c r="D76" s="2" t="s">
        <v>156</v>
      </c>
      <c r="E76" s="2" t="s">
        <v>163</v>
      </c>
      <c r="F76" s="2" t="s">
        <v>40</v>
      </c>
      <c r="G76" s="14"/>
      <c r="H76" s="14"/>
      <c r="I76" s="14"/>
      <c r="J76" s="15" t="s">
        <v>94</v>
      </c>
      <c r="O76" s="1"/>
    </row>
    <row r="77" spans="1:15" ht="15" thickBot="1" x14ac:dyDescent="0.4">
      <c r="A77" s="12">
        <v>76</v>
      </c>
      <c r="B77" s="13">
        <v>46013</v>
      </c>
      <c r="C77" s="2" t="s">
        <v>156</v>
      </c>
      <c r="D77" s="2" t="s">
        <v>156</v>
      </c>
      <c r="E77" s="2" t="s">
        <v>157</v>
      </c>
      <c r="F77" s="2" t="s">
        <v>40</v>
      </c>
      <c r="G77" s="14"/>
      <c r="H77" s="14"/>
      <c r="I77" s="14"/>
      <c r="J77" s="15" t="s">
        <v>94</v>
      </c>
      <c r="O77" s="1"/>
    </row>
    <row r="78" spans="1:15" x14ac:dyDescent="0.35">
      <c r="A78" s="7">
        <v>77</v>
      </c>
      <c r="B78" s="13">
        <v>46013</v>
      </c>
      <c r="C78" s="2" t="s">
        <v>55</v>
      </c>
      <c r="D78" s="2" t="s">
        <v>55</v>
      </c>
      <c r="E78" s="2" t="s">
        <v>36</v>
      </c>
      <c r="F78" s="2" t="s">
        <v>75</v>
      </c>
      <c r="G78" s="14"/>
      <c r="H78" s="14"/>
      <c r="I78" s="14"/>
      <c r="J78" s="15" t="s">
        <v>94</v>
      </c>
    </row>
    <row r="79" spans="1:15" ht="15" thickBot="1" x14ac:dyDescent="0.4">
      <c r="A79" s="12">
        <v>78</v>
      </c>
      <c r="B79" s="13">
        <v>46014</v>
      </c>
      <c r="C79" s="2" t="s">
        <v>165</v>
      </c>
      <c r="D79" s="2" t="s">
        <v>165</v>
      </c>
      <c r="E79" s="2" t="s">
        <v>162</v>
      </c>
      <c r="F79" s="2" t="s">
        <v>45</v>
      </c>
      <c r="G79" s="14"/>
      <c r="H79" s="14"/>
      <c r="I79" s="14"/>
      <c r="J79" s="15" t="s">
        <v>93</v>
      </c>
    </row>
    <row r="80" spans="1:15" x14ac:dyDescent="0.35">
      <c r="A80" s="7">
        <v>79</v>
      </c>
      <c r="B80" s="13">
        <v>46014</v>
      </c>
      <c r="C80" s="2" t="s">
        <v>160</v>
      </c>
      <c r="D80" s="2" t="s">
        <v>160</v>
      </c>
      <c r="E80" s="2" t="s">
        <v>5</v>
      </c>
      <c r="F80" s="2" t="s">
        <v>159</v>
      </c>
      <c r="G80" s="14"/>
      <c r="H80" s="14"/>
      <c r="I80" s="14"/>
      <c r="J80" s="15" t="s">
        <v>93</v>
      </c>
    </row>
    <row r="81" spans="1:15" ht="15" thickBot="1" x14ac:dyDescent="0.4">
      <c r="A81" s="12">
        <v>80</v>
      </c>
      <c r="B81" s="13">
        <v>46015</v>
      </c>
      <c r="C81" s="2" t="s">
        <v>79</v>
      </c>
      <c r="D81" s="2" t="s">
        <v>79</v>
      </c>
      <c r="E81" s="2" t="s">
        <v>36</v>
      </c>
      <c r="F81" s="2" t="s">
        <v>76</v>
      </c>
      <c r="G81" s="14"/>
      <c r="H81" s="14"/>
      <c r="I81" s="14"/>
      <c r="J81" s="15" t="s">
        <v>94</v>
      </c>
    </row>
    <row r="82" spans="1:15" x14ac:dyDescent="0.35">
      <c r="A82" s="7">
        <v>81</v>
      </c>
      <c r="B82" s="13">
        <v>46015</v>
      </c>
      <c r="C82" s="2" t="s">
        <v>184</v>
      </c>
      <c r="D82" s="2" t="s">
        <v>184</v>
      </c>
      <c r="E82" s="2" t="s">
        <v>82</v>
      </c>
      <c r="F82" s="2" t="s">
        <v>185</v>
      </c>
      <c r="G82" s="14"/>
      <c r="H82" s="14"/>
      <c r="I82" s="14"/>
      <c r="J82" s="15" t="s">
        <v>93</v>
      </c>
    </row>
    <row r="83" spans="1:15" ht="15" thickBot="1" x14ac:dyDescent="0.4">
      <c r="A83" s="12">
        <v>82</v>
      </c>
      <c r="B83" s="13">
        <v>46017</v>
      </c>
      <c r="C83" s="2" t="s">
        <v>79</v>
      </c>
      <c r="D83" s="2" t="s">
        <v>79</v>
      </c>
      <c r="E83" s="2" t="s">
        <v>77</v>
      </c>
      <c r="F83" s="2" t="s">
        <v>78</v>
      </c>
      <c r="G83" s="14"/>
      <c r="H83" s="14"/>
      <c r="I83" s="14"/>
      <c r="J83" s="15" t="s">
        <v>94</v>
      </c>
    </row>
    <row r="84" spans="1:15" x14ac:dyDescent="0.35">
      <c r="A84" s="7">
        <v>83</v>
      </c>
      <c r="B84" s="13">
        <v>46017</v>
      </c>
      <c r="C84" s="2" t="s">
        <v>142</v>
      </c>
      <c r="D84" s="2" t="s">
        <v>142</v>
      </c>
      <c r="E84" s="2" t="s">
        <v>82</v>
      </c>
      <c r="F84" s="2" t="s">
        <v>81</v>
      </c>
      <c r="G84" s="14"/>
      <c r="H84" s="14"/>
      <c r="I84" s="14"/>
      <c r="J84" s="15" t="s">
        <v>93</v>
      </c>
      <c r="O84" s="1"/>
    </row>
    <row r="85" spans="1:15" ht="15" thickBot="1" x14ac:dyDescent="0.4">
      <c r="A85" s="12">
        <v>84</v>
      </c>
      <c r="B85" s="13">
        <v>46018</v>
      </c>
      <c r="C85" s="2" t="s">
        <v>80</v>
      </c>
      <c r="D85" s="2" t="s">
        <v>80</v>
      </c>
      <c r="E85" s="2" t="s">
        <v>82</v>
      </c>
      <c r="F85" s="2" t="s">
        <v>83</v>
      </c>
      <c r="G85" s="14"/>
      <c r="H85" s="14"/>
      <c r="I85" s="14"/>
      <c r="J85" s="15" t="s">
        <v>93</v>
      </c>
      <c r="O85" s="1"/>
    </row>
    <row r="86" spans="1:15" x14ac:dyDescent="0.35">
      <c r="A86" s="7">
        <v>85</v>
      </c>
      <c r="B86" s="13">
        <v>46018</v>
      </c>
      <c r="C86" s="2" t="s">
        <v>84</v>
      </c>
      <c r="D86" s="2" t="s">
        <v>84</v>
      </c>
      <c r="E86" s="2" t="s">
        <v>85</v>
      </c>
      <c r="F86" s="2" t="s">
        <v>56</v>
      </c>
      <c r="G86" s="14"/>
      <c r="H86" s="14"/>
      <c r="I86" s="14"/>
      <c r="J86" s="15" t="s">
        <v>93</v>
      </c>
      <c r="O86" s="1"/>
    </row>
    <row r="87" spans="1:15" ht="15" thickBot="1" x14ac:dyDescent="0.4">
      <c r="A87" s="12">
        <v>86</v>
      </c>
      <c r="B87" s="13">
        <v>46018</v>
      </c>
      <c r="C87" s="2" t="s">
        <v>86</v>
      </c>
      <c r="D87" s="2" t="s">
        <v>86</v>
      </c>
      <c r="E87" s="2" t="s">
        <v>11</v>
      </c>
      <c r="F87" s="2" t="s">
        <v>87</v>
      </c>
      <c r="G87" s="14"/>
      <c r="H87" s="14"/>
      <c r="I87" s="14"/>
      <c r="J87" s="15" t="s">
        <v>94</v>
      </c>
    </row>
    <row r="88" spans="1:15" x14ac:dyDescent="0.35">
      <c r="A88" s="7">
        <v>87</v>
      </c>
      <c r="B88" s="13">
        <v>46019</v>
      </c>
      <c r="C88" s="2" t="s">
        <v>84</v>
      </c>
      <c r="D88" s="2" t="s">
        <v>84</v>
      </c>
      <c r="E88" s="2" t="s">
        <v>28</v>
      </c>
      <c r="F88" s="2" t="s">
        <v>56</v>
      </c>
      <c r="G88" s="14"/>
      <c r="H88" s="14"/>
      <c r="I88" s="14"/>
      <c r="J88" s="15" t="s">
        <v>93</v>
      </c>
      <c r="O88" s="1"/>
    </row>
    <row r="89" spans="1:15" ht="15" thickBot="1" x14ac:dyDescent="0.4">
      <c r="A89" s="12">
        <v>88</v>
      </c>
      <c r="B89" s="13">
        <v>46019</v>
      </c>
      <c r="C89" s="2" t="s">
        <v>105</v>
      </c>
      <c r="D89" s="2" t="s">
        <v>105</v>
      </c>
      <c r="E89" s="2" t="s">
        <v>11</v>
      </c>
      <c r="F89" s="2" t="s">
        <v>106</v>
      </c>
      <c r="G89" s="14"/>
      <c r="H89" s="14"/>
      <c r="I89" s="14"/>
      <c r="J89" s="15" t="s">
        <v>93</v>
      </c>
      <c r="O89" s="1"/>
    </row>
    <row r="90" spans="1:15" x14ac:dyDescent="0.35">
      <c r="A90" s="7">
        <v>89</v>
      </c>
      <c r="B90" s="13">
        <v>46020</v>
      </c>
      <c r="C90" s="2" t="s">
        <v>84</v>
      </c>
      <c r="D90" s="2" t="s">
        <v>84</v>
      </c>
      <c r="E90" s="2" t="s">
        <v>88</v>
      </c>
      <c r="F90" s="2" t="s">
        <v>56</v>
      </c>
      <c r="G90" s="14"/>
      <c r="H90" s="14"/>
      <c r="I90" s="14"/>
      <c r="J90" s="15" t="s">
        <v>93</v>
      </c>
      <c r="O90" s="1"/>
    </row>
    <row r="91" spans="1:15" ht="15" thickBot="1" x14ac:dyDescent="0.4">
      <c r="A91" s="12">
        <v>90</v>
      </c>
      <c r="B91" s="13">
        <v>46020</v>
      </c>
      <c r="C91" s="2" t="s">
        <v>143</v>
      </c>
      <c r="D91" s="2" t="s">
        <v>143</v>
      </c>
      <c r="E91" s="2" t="s">
        <v>88</v>
      </c>
      <c r="F91" s="2" t="s">
        <v>144</v>
      </c>
      <c r="G91" s="14"/>
      <c r="H91" s="14"/>
      <c r="I91" s="14"/>
      <c r="J91" s="15" t="s">
        <v>93</v>
      </c>
      <c r="O91" s="1"/>
    </row>
    <row r="92" spans="1:15" ht="14.5" customHeight="1" x14ac:dyDescent="0.35">
      <c r="A92" s="7">
        <v>91</v>
      </c>
      <c r="B92" s="13">
        <v>45659</v>
      </c>
      <c r="C92" s="2" t="s">
        <v>98</v>
      </c>
      <c r="D92" s="2" t="s">
        <v>98</v>
      </c>
      <c r="E92" s="2" t="s">
        <v>99</v>
      </c>
      <c r="F92" s="2" t="s">
        <v>40</v>
      </c>
      <c r="G92" s="14"/>
      <c r="H92" s="14"/>
      <c r="I92" s="14"/>
      <c r="J92" s="15" t="s">
        <v>94</v>
      </c>
    </row>
    <row r="93" spans="1:15" ht="14.5" customHeight="1" thickBot="1" x14ac:dyDescent="0.4">
      <c r="A93" s="12">
        <v>92</v>
      </c>
      <c r="B93" s="13">
        <v>45659</v>
      </c>
      <c r="C93" s="2" t="s">
        <v>198</v>
      </c>
      <c r="D93" s="2" t="s">
        <v>198</v>
      </c>
      <c r="E93" s="2" t="s">
        <v>77</v>
      </c>
      <c r="F93" s="2" t="s">
        <v>199</v>
      </c>
      <c r="G93" s="14"/>
      <c r="H93" s="14"/>
      <c r="I93" s="14"/>
      <c r="J93" s="15" t="s">
        <v>94</v>
      </c>
    </row>
    <row r="94" spans="1:15" ht="14.5" customHeight="1" x14ac:dyDescent="0.35">
      <c r="A94" s="7">
        <v>93</v>
      </c>
      <c r="B94" s="13">
        <v>45660</v>
      </c>
      <c r="C94" s="2" t="s">
        <v>98</v>
      </c>
      <c r="D94" s="2" t="s">
        <v>98</v>
      </c>
      <c r="E94" s="2" t="s">
        <v>19</v>
      </c>
      <c r="F94" s="2" t="s">
        <v>40</v>
      </c>
      <c r="G94" s="14"/>
      <c r="H94" s="14"/>
      <c r="I94" s="14"/>
      <c r="J94" s="15" t="s">
        <v>94</v>
      </c>
    </row>
    <row r="95" spans="1:15" ht="15" thickBot="1" x14ac:dyDescent="0.4">
      <c r="A95" s="12">
        <v>94</v>
      </c>
      <c r="B95" s="13">
        <v>45661</v>
      </c>
      <c r="C95" s="2" t="s">
        <v>184</v>
      </c>
      <c r="D95" s="2" t="s">
        <v>184</v>
      </c>
      <c r="E95" s="2" t="s">
        <v>174</v>
      </c>
      <c r="F95" s="2" t="s">
        <v>186</v>
      </c>
      <c r="G95" s="14"/>
      <c r="H95" s="14"/>
      <c r="I95" s="14"/>
      <c r="J95" s="15" t="s">
        <v>93</v>
      </c>
    </row>
    <row r="96" spans="1:15" ht="14.5" customHeight="1" x14ac:dyDescent="0.35">
      <c r="A96" s="7">
        <v>95</v>
      </c>
      <c r="B96" s="13">
        <v>46033</v>
      </c>
      <c r="C96" s="2" t="s">
        <v>170</v>
      </c>
      <c r="D96" s="2" t="s">
        <v>170</v>
      </c>
      <c r="E96" s="2" t="s">
        <v>172</v>
      </c>
      <c r="F96" s="2" t="s">
        <v>171</v>
      </c>
      <c r="G96" s="14"/>
      <c r="H96" s="14"/>
      <c r="I96" s="14"/>
      <c r="J96" s="15" t="s">
        <v>94</v>
      </c>
    </row>
    <row r="97" spans="1:15" ht="15" thickBot="1" x14ac:dyDescent="0.4">
      <c r="A97" s="12">
        <v>96</v>
      </c>
      <c r="B97" s="13">
        <v>46033</v>
      </c>
      <c r="C97" s="2" t="s">
        <v>89</v>
      </c>
      <c r="D97" s="2" t="s">
        <v>89</v>
      </c>
      <c r="E97" s="2" t="s">
        <v>77</v>
      </c>
      <c r="F97" s="2" t="s">
        <v>90</v>
      </c>
      <c r="G97" s="14"/>
      <c r="H97" s="14"/>
      <c r="I97" s="14"/>
      <c r="J97" s="15" t="s">
        <v>93</v>
      </c>
      <c r="O97" s="1"/>
    </row>
    <row r="98" spans="1:15" x14ac:dyDescent="0.35">
      <c r="A98" s="7">
        <v>97</v>
      </c>
      <c r="B98" s="13">
        <v>46034</v>
      </c>
      <c r="C98" s="2" t="s">
        <v>156</v>
      </c>
      <c r="D98" s="2" t="s">
        <v>156</v>
      </c>
      <c r="E98" s="2" t="s">
        <v>174</v>
      </c>
      <c r="F98" s="2" t="s">
        <v>173</v>
      </c>
      <c r="G98" s="14"/>
      <c r="H98" s="14"/>
      <c r="I98" s="14"/>
      <c r="J98" s="15" t="s">
        <v>94</v>
      </c>
      <c r="O98" s="1"/>
    </row>
    <row r="99" spans="1:15" ht="15" thickBot="1" x14ac:dyDescent="0.4">
      <c r="A99" s="12">
        <v>98</v>
      </c>
      <c r="B99" s="13">
        <v>46037</v>
      </c>
      <c r="C99" s="2" t="s">
        <v>120</v>
      </c>
      <c r="D99" s="2" t="s">
        <v>120</v>
      </c>
      <c r="E99" s="2" t="s">
        <v>191</v>
      </c>
      <c r="F99" s="2" t="s">
        <v>189</v>
      </c>
      <c r="G99" s="14"/>
      <c r="H99" s="14"/>
      <c r="I99" s="14"/>
      <c r="J99" s="15" t="s">
        <v>93</v>
      </c>
    </row>
    <row r="100" spans="1:15" x14ac:dyDescent="0.35">
      <c r="A100" s="7">
        <v>99</v>
      </c>
      <c r="B100" s="13">
        <v>46038</v>
      </c>
      <c r="C100" s="2" t="s">
        <v>120</v>
      </c>
      <c r="D100" s="2" t="s">
        <v>120</v>
      </c>
      <c r="E100" s="2" t="s">
        <v>162</v>
      </c>
      <c r="F100" s="2" t="s">
        <v>190</v>
      </c>
      <c r="G100" s="14"/>
      <c r="H100" s="14"/>
      <c r="I100" s="14"/>
      <c r="J100" s="15" t="s">
        <v>93</v>
      </c>
    </row>
    <row r="101" spans="1:15" ht="15" thickBot="1" x14ac:dyDescent="0.4">
      <c r="A101" s="12">
        <v>100</v>
      </c>
      <c r="B101" s="13">
        <v>46044</v>
      </c>
      <c r="C101" s="2" t="s">
        <v>146</v>
      </c>
      <c r="D101" s="2" t="s">
        <v>146</v>
      </c>
      <c r="E101" s="2" t="s">
        <v>77</v>
      </c>
      <c r="F101" s="2" t="s">
        <v>147</v>
      </c>
      <c r="G101" s="14"/>
      <c r="H101" s="14"/>
      <c r="I101" s="14"/>
      <c r="J101" s="15" t="s">
        <v>93</v>
      </c>
      <c r="O101" s="1"/>
    </row>
    <row r="102" spans="1:15" x14ac:dyDescent="0.35">
      <c r="A102" s="7">
        <v>101</v>
      </c>
      <c r="B102" s="13">
        <v>46045</v>
      </c>
      <c r="C102" s="2" t="s">
        <v>146</v>
      </c>
      <c r="D102" s="2" t="s">
        <v>146</v>
      </c>
      <c r="E102" s="2" t="s">
        <v>77</v>
      </c>
      <c r="F102" s="2" t="s">
        <v>147</v>
      </c>
      <c r="G102" s="14"/>
      <c r="H102" s="14"/>
      <c r="I102" s="14"/>
      <c r="J102" s="15" t="s">
        <v>93</v>
      </c>
      <c r="O102" s="1"/>
    </row>
    <row r="103" spans="1:15" ht="15" thickBot="1" x14ac:dyDescent="0.4">
      <c r="A103" s="12">
        <v>102</v>
      </c>
      <c r="B103" s="13">
        <v>46047</v>
      </c>
      <c r="C103" s="2" t="s">
        <v>187</v>
      </c>
      <c r="D103" s="2" t="s">
        <v>187</v>
      </c>
      <c r="E103" s="2" t="s">
        <v>64</v>
      </c>
      <c r="F103" s="2" t="s">
        <v>188</v>
      </c>
      <c r="G103" s="14"/>
      <c r="H103" s="14"/>
      <c r="I103" s="14"/>
      <c r="J103" s="15" t="s">
        <v>93</v>
      </c>
      <c r="O103" s="1"/>
    </row>
    <row r="104" spans="1:15" x14ac:dyDescent="0.35">
      <c r="A104" s="7">
        <v>103</v>
      </c>
      <c r="B104" s="13">
        <v>46047</v>
      </c>
      <c r="C104" s="2" t="s">
        <v>44</v>
      </c>
      <c r="D104" s="2" t="s">
        <v>44</v>
      </c>
      <c r="E104" s="2" t="s">
        <v>36</v>
      </c>
      <c r="F104" s="2" t="s">
        <v>46</v>
      </c>
      <c r="G104" s="14"/>
      <c r="H104" s="14"/>
      <c r="I104" s="14"/>
      <c r="J104" s="15" t="s">
        <v>93</v>
      </c>
      <c r="O104" s="1"/>
    </row>
    <row r="105" spans="1:15" ht="15" thickBot="1" x14ac:dyDescent="0.4">
      <c r="A105" s="12">
        <v>104</v>
      </c>
      <c r="B105" s="17">
        <v>46057</v>
      </c>
      <c r="C105" s="2" t="s">
        <v>181</v>
      </c>
      <c r="D105" s="2" t="s">
        <v>181</v>
      </c>
      <c r="E105" s="2" t="s">
        <v>182</v>
      </c>
      <c r="F105" s="2" t="s">
        <v>192</v>
      </c>
      <c r="G105" s="3"/>
      <c r="H105" s="3"/>
      <c r="I105" s="3"/>
      <c r="J105" s="2" t="s">
        <v>93</v>
      </c>
      <c r="O105" s="1"/>
    </row>
    <row r="106" spans="1:15" x14ac:dyDescent="0.35">
      <c r="A106" s="7">
        <v>105</v>
      </c>
      <c r="B106" s="17">
        <v>46058</v>
      </c>
      <c r="C106" s="2" t="s">
        <v>181</v>
      </c>
      <c r="D106" s="2" t="s">
        <v>181</v>
      </c>
      <c r="E106" s="2" t="s">
        <v>183</v>
      </c>
      <c r="F106" s="2" t="s">
        <v>192</v>
      </c>
      <c r="G106" s="3"/>
      <c r="H106" s="3"/>
      <c r="I106" s="3"/>
      <c r="J106" s="2" t="s">
        <v>93</v>
      </c>
      <c r="O106" s="1"/>
    </row>
    <row r="107" spans="1:15" ht="15" thickBot="1" x14ac:dyDescent="0.4">
      <c r="A107" s="12">
        <v>106</v>
      </c>
      <c r="B107" s="17">
        <v>46060</v>
      </c>
      <c r="C107" s="2" t="s">
        <v>193</v>
      </c>
      <c r="D107" s="2" t="s">
        <v>193</v>
      </c>
      <c r="E107" s="2" t="s">
        <v>64</v>
      </c>
      <c r="F107" s="2" t="s">
        <v>194</v>
      </c>
      <c r="G107" s="3"/>
      <c r="H107" s="3"/>
      <c r="I107" s="3"/>
      <c r="J107" s="2" t="s">
        <v>93</v>
      </c>
      <c r="O107" s="1"/>
    </row>
    <row r="108" spans="1:15" x14ac:dyDescent="0.35">
      <c r="A108" s="7">
        <v>107</v>
      </c>
      <c r="B108" s="17">
        <v>46068</v>
      </c>
      <c r="C108" s="2" t="s">
        <v>195</v>
      </c>
      <c r="D108" s="2" t="s">
        <v>195</v>
      </c>
      <c r="E108" s="2" t="s">
        <v>162</v>
      </c>
      <c r="F108" s="2" t="s">
        <v>196</v>
      </c>
      <c r="G108" s="3"/>
      <c r="H108" s="3"/>
      <c r="I108" s="3"/>
      <c r="J108" s="2" t="s">
        <v>93</v>
      </c>
      <c r="O108" s="1"/>
    </row>
    <row r="109" spans="1:15" ht="15" thickBot="1" x14ac:dyDescent="0.4">
      <c r="A109" s="12">
        <v>108</v>
      </c>
      <c r="B109" s="13">
        <v>46101</v>
      </c>
      <c r="C109" s="2" t="s">
        <v>200</v>
      </c>
      <c r="D109" s="2" t="s">
        <v>200</v>
      </c>
      <c r="E109" s="2" t="s">
        <v>36</v>
      </c>
      <c r="F109" s="2" t="s">
        <v>202</v>
      </c>
      <c r="G109" s="3"/>
      <c r="H109" s="3"/>
      <c r="I109" s="3"/>
      <c r="J109" s="2" t="s">
        <v>94</v>
      </c>
      <c r="O109" s="1"/>
    </row>
    <row r="110" spans="1:15" x14ac:dyDescent="0.35">
      <c r="A110" s="7">
        <v>109</v>
      </c>
      <c r="B110" s="13">
        <v>46102</v>
      </c>
      <c r="C110" s="2" t="s">
        <v>200</v>
      </c>
      <c r="D110" s="2" t="s">
        <v>200</v>
      </c>
      <c r="E110" s="2" t="s">
        <v>162</v>
      </c>
      <c r="F110" s="2" t="s">
        <v>201</v>
      </c>
      <c r="G110" s="3"/>
      <c r="H110" s="3"/>
      <c r="I110" s="3"/>
      <c r="J110" s="2" t="s">
        <v>94</v>
      </c>
      <c r="O110" s="1"/>
    </row>
    <row r="111" spans="1:15" ht="15" thickBot="1" x14ac:dyDescent="0.4">
      <c r="A111" s="12">
        <v>110</v>
      </c>
      <c r="B111" s="13">
        <v>46101</v>
      </c>
      <c r="C111" s="2" t="s">
        <v>91</v>
      </c>
      <c r="D111" s="2" t="s">
        <v>91</v>
      </c>
      <c r="E111" s="2" t="s">
        <v>36</v>
      </c>
      <c r="F111" s="2" t="s">
        <v>145</v>
      </c>
      <c r="G111" s="3"/>
      <c r="H111" s="3"/>
      <c r="I111" s="3"/>
      <c r="J111" s="2" t="s">
        <v>93</v>
      </c>
      <c r="O111" s="1"/>
    </row>
    <row r="112" spans="1:15" x14ac:dyDescent="0.35">
      <c r="A112" s="7">
        <v>111</v>
      </c>
      <c r="B112" s="13">
        <v>46102</v>
      </c>
      <c r="C112" s="2" t="s">
        <v>91</v>
      </c>
      <c r="D112" s="2" t="s">
        <v>91</v>
      </c>
      <c r="E112" s="2" t="s">
        <v>36</v>
      </c>
      <c r="F112" s="2" t="s">
        <v>145</v>
      </c>
      <c r="G112" s="3"/>
      <c r="H112" s="3"/>
      <c r="I112" s="3"/>
      <c r="J112" s="2" t="s">
        <v>93</v>
      </c>
      <c r="O112" s="1"/>
    </row>
  </sheetData>
  <pageMargins left="0.7" right="0.7" top="0.75" bottom="0.75" header="0.3" footer="0.3"/>
  <pageSetup scale="67" orientation="portrait" horizontalDpi="300" verticalDpi="300" r:id="rId1"/>
  <rowBreaks count="1" manualBreakCount="1">
    <brk id="6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FY-25-26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Kumar| Atbott</dc:creator>
  <cp:lastModifiedBy>Kishor Kumar</cp:lastModifiedBy>
  <cp:lastPrinted>2025-08-26T07:04:04Z</cp:lastPrinted>
  <dcterms:created xsi:type="dcterms:W3CDTF">2025-06-03T04:17:02Z</dcterms:created>
  <dcterms:modified xsi:type="dcterms:W3CDTF">2025-11-15T00:39:20Z</dcterms:modified>
</cp:coreProperties>
</file>